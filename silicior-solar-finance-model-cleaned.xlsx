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Power BI ex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₹&quot;\ #,##0.00;[Red]&quot;₹&quot;\ \-#,##0.00"/>
    <numFmt numFmtId="165" formatCode="&quot;AED&quot; #,##0.00;[Red]&quot;AED&quot; -#,##0.00"/>
    <numFmt numFmtId="166" formatCode="&quot;AED&quot; 0.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9" fontId="2" fillId="0" borderId="0" pivotButton="0" quotePrefix="0" xfId="0"/>
    <xf numFmtId="3" fontId="2" fillId="0" borderId="0" pivotButton="0" quotePrefix="0" xfId="0"/>
    <xf numFmtId="10" fontId="0" fillId="0" borderId="0" pivotButton="0" quotePrefix="0" xfId="0"/>
    <xf numFmtId="10" fontId="2" fillId="0" borderId="0" pivotButton="0" quotePrefix="0" xfId="0"/>
    <xf numFmtId="1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9" fontId="2" fillId="0" borderId="1" applyAlignment="1" pivotButton="0" quotePrefix="0" xfId="0">
      <alignment horizontal="right" wrapText="1"/>
    </xf>
    <xf numFmtId="2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1" fontId="0" fillId="0" borderId="0" pivotButton="0" quotePrefix="0" xfId="0"/>
    <xf numFmtId="165" fontId="2" fillId="0" borderId="0" pivotButton="0" quotePrefix="0" xfId="0"/>
    <xf numFmtId="166" fontId="2" fillId="0" borderId="1" applyAlignment="1" pivotButton="0" quotePrefix="0" xfId="0">
      <alignment horizontal="right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opLeftCell="A29" workbookViewId="0">
      <selection activeCell="A12" sqref="A12"/>
    </sheetView>
  </sheetViews>
  <sheetFormatPr baseColWidth="8" defaultRowHeight="14.5"/>
  <cols>
    <col width="78.6328125" customWidth="1" min="1" max="1"/>
  </cols>
  <sheetData>
    <row r="1">
      <c r="A1" t="inlineStr">
        <is>
          <t>Project Title: Silicior - Solar Finance Model: 10 MW Solar Farm</t>
        </is>
      </c>
    </row>
    <row r="2">
      <c r="A2" s="14" t="inlineStr">
        <is>
          <t>Project Description: A 25-year project-finance model for a hypothetical 10 MW ground-mounted solar project located in Abu Dhabi, UAE, operating under a fixed-tariff Power Purchase Agreement (PPA).</t>
        </is>
      </c>
    </row>
    <row r="3">
      <c r="A3" s="14" t="inlineStr">
        <is>
          <t>Key Assumptions:</t>
        </is>
      </c>
    </row>
    <row r="4">
      <c r="A4" s="15" t="n"/>
    </row>
    <row r="5">
      <c r="A5" s="15" t="inlineStr">
        <is>
          <t>Capacity: 10 MW</t>
        </is>
      </c>
    </row>
    <row r="6">
      <c r="A6" s="15" t="n"/>
    </row>
    <row r="7">
      <c r="A7" s="15" t="inlineStr">
        <is>
          <t>Total Project Cost: AED 400 million</t>
        </is>
      </c>
    </row>
    <row r="8">
      <c r="A8" s="15" t="n"/>
    </row>
    <row r="9">
      <c r="A9" s="15" t="inlineStr">
        <is>
          <t>Debt/Equity Ratio: 70:30</t>
        </is>
      </c>
    </row>
    <row r="10">
      <c r="A10" s="15" t="n"/>
    </row>
    <row r="11">
      <c r="A11" s="15" t="inlineStr">
        <is>
          <t>PPA Tariff: AED 0.275 / kWh</t>
        </is>
      </c>
    </row>
    <row r="12"/>
    <row r="13">
      <c r="A13" s="14" t="inlineStr">
        <is>
          <t>Key Outputs:</t>
        </is>
      </c>
    </row>
    <row r="14">
      <c r="A14" s="15" t="n"/>
    </row>
    <row r="15">
      <c r="A15" s="15" t="inlineStr">
        <is>
          <t>Equity IRR: 37.75%</t>
        </is>
      </c>
    </row>
    <row r="16"/>
    <row r="17">
      <c r="A17" s="14" t="inlineStr">
        <is>
          <t>Author:</t>
        </is>
      </c>
    </row>
    <row r="18">
      <c r="A18" s="15" t="n"/>
    </row>
    <row r="19">
      <c r="A19" s="15" t="inlineStr">
        <is>
          <t>Modeled by: Youssef Eleyouta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3" workbookViewId="0">
      <selection activeCell="B25" sqref="B25"/>
    </sheetView>
  </sheetViews>
  <sheetFormatPr baseColWidth="8" defaultRowHeight="14.5"/>
  <cols>
    <col width="27.54296875" customWidth="1" min="1" max="1"/>
    <col width="29.453125" customWidth="1" min="2" max="2"/>
  </cols>
  <sheetData>
    <row r="1"/>
    <row r="2"/>
    <row r="3">
      <c r="A3" t="inlineStr">
        <is>
          <t>Plant Capacity (MW)</t>
        </is>
      </c>
      <c r="B3" s="1" t="n">
        <v>10</v>
      </c>
    </row>
    <row r="4">
      <c r="A4" t="inlineStr">
        <is>
          <t>Capacity Utilization Factor (CUF)</t>
        </is>
      </c>
      <c r="B4" s="3" t="n">
        <v>0.22</v>
      </c>
    </row>
    <row r="5">
      <c r="A5" t="inlineStr">
        <is>
          <t>Capital Cost (CAPEX) per MW (AED)</t>
        </is>
      </c>
      <c r="B5" s="17" t="n">
        <v>40000000</v>
      </c>
    </row>
    <row r="6" ht="15" customHeight="1" thickBot="1">
      <c r="A6" t="inlineStr">
        <is>
          <t>Annual OPEX (% of CAPEX)</t>
        </is>
      </c>
      <c r="B6" s="6" t="n">
        <v>0.01</v>
      </c>
    </row>
    <row r="7" ht="15" customHeight="1" thickBot="1">
      <c r="A7" s="1" t="inlineStr">
        <is>
          <t>Annual OPEX Inflation</t>
        </is>
      </c>
      <c r="B7" s="7" t="n">
        <v>0.05</v>
      </c>
    </row>
    <row r="8" ht="15" customHeight="1" thickBot="1">
      <c r="A8" s="1" t="inlineStr">
        <is>
          <t>Annual Degradation Rate</t>
        </is>
      </c>
      <c r="B8" s="7" t="n">
        <v>0.006</v>
      </c>
    </row>
    <row r="9" ht="15" customHeight="1" thickBot="1">
      <c r="A9" s="1" t="inlineStr">
        <is>
          <t>PPA Tariff (AED per kWh)</t>
        </is>
      </c>
      <c r="B9" s="18" t="n">
        <v>0.275</v>
      </c>
    </row>
    <row r="10"/>
    <row r="11" ht="15" customHeight="1" thickBot="1"/>
    <row r="12" ht="15" customHeight="1" thickBot="1">
      <c r="A12" s="9" t="inlineStr">
        <is>
          <t>Debt : Equity Ratio</t>
        </is>
      </c>
      <c r="B12" s="10" t="n">
        <v>0.7</v>
      </c>
    </row>
    <row r="13" ht="15" customHeight="1" thickBot="1">
      <c r="A13" s="9" t="inlineStr">
        <is>
          <t>Cost of Debt (Interest Rate)</t>
        </is>
      </c>
      <c r="B13" s="7" t="n">
        <v>0.095</v>
      </c>
    </row>
    <row r="14" ht="15" customHeight="1" thickBot="1">
      <c r="A14" s="9" t="inlineStr">
        <is>
          <t>Loan Tenure (Years)</t>
        </is>
      </c>
      <c r="B14" s="8" t="n">
        <v>15</v>
      </c>
    </row>
    <row r="15" ht="15" customHeight="1" thickBot="1">
      <c r="A15" s="9" t="inlineStr">
        <is>
          <t>Corporate Tax Rate</t>
        </is>
      </c>
      <c r="B15" s="7" t="n">
        <v>0.2517</v>
      </c>
    </row>
    <row r="16">
      <c r="A16" t="inlineStr">
        <is>
          <t>Depreciation Rate (WDV)</t>
        </is>
      </c>
      <c r="B16" s="2" t="n">
        <v>0.4</v>
      </c>
    </row>
    <row r="17"/>
    <row r="18">
      <c r="A18" t="inlineStr">
        <is>
          <t>Total CAPEX</t>
        </is>
      </c>
      <c r="B18" s="19">
        <f>B5*B3</f>
        <v/>
      </c>
    </row>
    <row r="19">
      <c r="A19" t="inlineStr">
        <is>
          <t>Total Debt Amount</t>
        </is>
      </c>
      <c r="B19" s="19">
        <f>B18*B12</f>
        <v/>
      </c>
    </row>
    <row r="20"/>
    <row r="21">
      <c r="A21" t="inlineStr">
        <is>
          <t>Equity IRR</t>
        </is>
      </c>
      <c r="B21" s="5">
        <f>IRR(Financials!B15:AA15)</f>
        <v/>
      </c>
    </row>
    <row r="22">
      <c r="A22" t="inlineStr">
        <is>
          <t>Discount Rate</t>
        </is>
      </c>
      <c r="B22" s="2" t="n">
        <v>0.1</v>
      </c>
    </row>
    <row r="23">
      <c r="A23" t="inlineStr">
        <is>
          <t>NPV</t>
        </is>
      </c>
      <c r="B23" s="19">
        <f>NPV(B22,Financials!C15:AA15)+Financials!B15</f>
        <v/>
      </c>
    </row>
    <row r="24">
      <c r="A24" t="inlineStr">
        <is>
          <t>Payback Period (Years)</t>
        </is>
      </c>
      <c r="B24">
        <f t="array" ref="B24">MATCH(TRUE,Financials!B16:AA16&gt;0,0)-2</f>
        <v/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topLeftCell="D5" zoomScale="90" workbookViewId="0">
      <selection activeCell="R23" sqref="R23"/>
    </sheetView>
  </sheetViews>
  <sheetFormatPr baseColWidth="8" defaultRowHeight="14.5"/>
  <cols>
    <col width="27.6328125" customWidth="1" min="1" max="1"/>
    <col width="13.36328125" customWidth="1" min="2" max="2"/>
    <col width="17.26953125" customWidth="1" min="3" max="3"/>
    <col width="18.08984375" customWidth="1" min="4" max="4"/>
    <col width="15.90625" customWidth="1" min="5" max="5"/>
    <col width="15.81640625" customWidth="1" min="6" max="6"/>
    <col width="16.90625" customWidth="1" min="7" max="7"/>
    <col width="18" customWidth="1" min="8" max="8"/>
    <col width="18.26953125" customWidth="1" min="9" max="9"/>
    <col width="15.54296875" customWidth="1" min="10" max="10"/>
    <col width="19.453125" customWidth="1" min="11" max="11"/>
    <col width="17.90625" customWidth="1" min="12" max="12"/>
    <col width="15.7265625" customWidth="1" min="13" max="13"/>
    <col width="17.90625" customWidth="1" min="14" max="14"/>
    <col width="16" customWidth="1" min="15" max="15"/>
    <col width="14.81640625" customWidth="1" min="16" max="16"/>
    <col width="16.26953125" customWidth="1" min="17" max="17"/>
    <col width="12.36328125" bestFit="1" customWidth="1" min="18" max="27"/>
  </cols>
  <sheetData>
    <row r="1"/>
    <row r="2">
      <c r="C2" t="n">
        <v>1</v>
      </c>
      <c r="D2">
        <f>C2+1</f>
        <v/>
      </c>
      <c r="E2">
        <f>D2+1</f>
        <v/>
      </c>
      <c r="F2">
        <f>E2+1</f>
        <v/>
      </c>
      <c r="G2">
        <f>F2+1</f>
        <v/>
      </c>
      <c r="H2">
        <f>G2+1</f>
        <v/>
      </c>
      <c r="I2">
        <f>H2+1</f>
        <v/>
      </c>
      <c r="J2">
        <f>I2+1</f>
        <v/>
      </c>
      <c r="K2">
        <f>J2+1</f>
        <v/>
      </c>
      <c r="L2">
        <f>K2+1</f>
        <v/>
      </c>
      <c r="M2">
        <f>L2+1</f>
        <v/>
      </c>
      <c r="N2">
        <f>M2+1</f>
        <v/>
      </c>
      <c r="O2">
        <f>N2+1</f>
        <v/>
      </c>
      <c r="P2">
        <f>O2+1</f>
        <v/>
      </c>
      <c r="Q2">
        <f>P2+1</f>
        <v/>
      </c>
    </row>
    <row r="3">
      <c r="B3" t="inlineStr">
        <is>
          <t>Year 0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  <c r="H3" t="inlineStr">
        <is>
          <t>Year 6</t>
        </is>
      </c>
      <c r="I3" t="inlineStr">
        <is>
          <t>Year 7</t>
        </is>
      </c>
      <c r="J3" t="inlineStr">
        <is>
          <t>Year 8</t>
        </is>
      </c>
      <c r="K3" t="inlineStr">
        <is>
          <t>Year 9</t>
        </is>
      </c>
      <c r="L3" t="inlineStr">
        <is>
          <t>Year 10</t>
        </is>
      </c>
      <c r="M3" t="inlineStr">
        <is>
          <t>Year 11</t>
        </is>
      </c>
      <c r="N3" t="inlineStr">
        <is>
          <t>Year 12</t>
        </is>
      </c>
      <c r="O3" t="inlineStr">
        <is>
          <t>Year 13</t>
        </is>
      </c>
      <c r="P3" t="inlineStr">
        <is>
          <t>Year 14</t>
        </is>
      </c>
      <c r="Q3" t="inlineStr">
        <is>
          <t>Year 15</t>
        </is>
      </c>
      <c r="R3" t="inlineStr">
        <is>
          <t>Year 16</t>
        </is>
      </c>
      <c r="S3" t="inlineStr">
        <is>
          <t>Year 17</t>
        </is>
      </c>
      <c r="T3" t="inlineStr">
        <is>
          <t>Year 18</t>
        </is>
      </c>
      <c r="U3" t="inlineStr">
        <is>
          <t>Year 19</t>
        </is>
      </c>
      <c r="V3" t="inlineStr">
        <is>
          <t>Year 20</t>
        </is>
      </c>
      <c r="W3" t="inlineStr">
        <is>
          <t>Year 21</t>
        </is>
      </c>
      <c r="X3" t="inlineStr">
        <is>
          <t>Year 22</t>
        </is>
      </c>
      <c r="Y3" t="inlineStr">
        <is>
          <t>Year 23</t>
        </is>
      </c>
      <c r="Z3" t="inlineStr">
        <is>
          <t>Year 24</t>
        </is>
      </c>
      <c r="AA3" t="inlineStr">
        <is>
          <t>Year 25</t>
        </is>
      </c>
    </row>
    <row r="4"/>
    <row r="5">
      <c r="A5" t="inlineStr">
        <is>
          <t>Energy Generation (kWh)</t>
        </is>
      </c>
      <c r="C5">
        <f>Assumptions!$B$3 * 1000 * 24 * 365 * Assumptions!$B$4</f>
        <v/>
      </c>
      <c r="D5">
        <f>C5*(1-Assumptions!$B$8)</f>
        <v/>
      </c>
      <c r="E5">
        <f>D5*(1-Assumptions!$B$8)</f>
        <v/>
      </c>
      <c r="F5">
        <f>E5*(1-Assumptions!$B$8)</f>
        <v/>
      </c>
      <c r="G5">
        <f>F5*(1-Assumptions!$B$8)</f>
        <v/>
      </c>
      <c r="H5">
        <f>G5*(1-Assumptions!$B$8)</f>
        <v/>
      </c>
      <c r="I5">
        <f>H5*(1-Assumptions!$B$8)</f>
        <v/>
      </c>
      <c r="J5">
        <f>I5*(1-Assumptions!$B$8)</f>
        <v/>
      </c>
      <c r="K5">
        <f>J5*(1-Assumptions!$B$8)</f>
        <v/>
      </c>
      <c r="L5">
        <f>K5*(1-Assumptions!$B$8)</f>
        <v/>
      </c>
      <c r="M5">
        <f>L5*(1-Assumptions!$B$8)</f>
        <v/>
      </c>
      <c r="N5">
        <f>M5*(1-Assumptions!$B$8)</f>
        <v/>
      </c>
      <c r="O5">
        <f>N5*(1-Assumptions!$B$8)</f>
        <v/>
      </c>
      <c r="P5">
        <f>O5*(1-Assumptions!$B$8)</f>
        <v/>
      </c>
      <c r="Q5">
        <f>P5*(1-Assumptions!$B$8)</f>
        <v/>
      </c>
      <c r="R5">
        <f>Q5*(1-Assumptions!$B$8)</f>
        <v/>
      </c>
      <c r="S5">
        <f>R5*(1-Assumptions!$B$8)</f>
        <v/>
      </c>
      <c r="T5">
        <f>S5*(1-Assumptions!$B$8)</f>
        <v/>
      </c>
      <c r="U5">
        <f>T5*(1-Assumptions!$B$8)</f>
        <v/>
      </c>
      <c r="V5">
        <f>U5*(1-Assumptions!$B$8)</f>
        <v/>
      </c>
      <c r="W5">
        <f>V5*(1-Assumptions!$B$8)</f>
        <v/>
      </c>
      <c r="X5">
        <f>W5*(1-Assumptions!$B$8)</f>
        <v/>
      </c>
      <c r="Y5">
        <f>X5*(1-Assumptions!$B$8)</f>
        <v/>
      </c>
      <c r="Z5">
        <f>Y5*(1-Assumptions!$B$8)</f>
        <v/>
      </c>
      <c r="AA5">
        <f>Z5*(1-Assumptions!$B$8)</f>
        <v/>
      </c>
    </row>
    <row r="6">
      <c r="A6" t="inlineStr">
        <is>
          <t>Revenue</t>
        </is>
      </c>
      <c r="C6">
        <f>C5*Assumptions!$B$9</f>
        <v/>
      </c>
      <c r="D6">
        <f>D5*Assumptions!$B$9</f>
        <v/>
      </c>
      <c r="E6">
        <f>E5*Assumptions!$B$9</f>
        <v/>
      </c>
      <c r="F6">
        <f>F5*Assumptions!$B$9</f>
        <v/>
      </c>
      <c r="G6">
        <f>G5*Assumptions!$B$9</f>
        <v/>
      </c>
      <c r="H6">
        <f>H5*Assumptions!$B$9</f>
        <v/>
      </c>
      <c r="I6">
        <f>I5*Assumptions!$B$9</f>
        <v/>
      </c>
      <c r="J6">
        <f>J5*Assumptions!$B$9</f>
        <v/>
      </c>
      <c r="K6">
        <f>K5*Assumptions!$B$9</f>
        <v/>
      </c>
      <c r="L6">
        <f>L5*Assumptions!$B$9</f>
        <v/>
      </c>
      <c r="M6">
        <f>M5*Assumptions!$B$9</f>
        <v/>
      </c>
      <c r="N6">
        <f>N5*Assumptions!$B$9</f>
        <v/>
      </c>
      <c r="O6">
        <f>O5*Assumptions!$B$9</f>
        <v/>
      </c>
      <c r="P6">
        <f>P5*Assumptions!$B$9</f>
        <v/>
      </c>
      <c r="Q6">
        <f>Q5*Assumptions!$B$9</f>
        <v/>
      </c>
      <c r="R6">
        <f>R5*Assumptions!$B$9</f>
        <v/>
      </c>
      <c r="S6">
        <f>S5*Assumptions!$B$9</f>
        <v/>
      </c>
      <c r="T6">
        <f>T5*Assumptions!$B$9</f>
        <v/>
      </c>
      <c r="U6">
        <f>U5*Assumptions!$B$9</f>
        <v/>
      </c>
      <c r="V6">
        <f>V5*Assumptions!$B$9</f>
        <v/>
      </c>
      <c r="W6">
        <f>W5*Assumptions!$B$9</f>
        <v/>
      </c>
      <c r="X6">
        <f>X5*Assumptions!$B$9</f>
        <v/>
      </c>
      <c r="Y6">
        <f>Y5*Assumptions!$B$9</f>
        <v/>
      </c>
      <c r="Z6">
        <f>Z5*Assumptions!$B$9</f>
        <v/>
      </c>
      <c r="AA6">
        <f>AA5*Assumptions!$B$9</f>
        <v/>
      </c>
    </row>
    <row r="7"/>
    <row r="8">
      <c r="A8" t="inlineStr">
        <is>
          <t>Capital Expenditure (CAPEX)</t>
        </is>
      </c>
      <c r="B8">
        <f>Assumptions!$B$5*Assumptions!$B$3</f>
        <v/>
      </c>
    </row>
    <row r="9">
      <c r="A9" t="inlineStr">
        <is>
          <t>Operating Expenditure (OPEX)</t>
        </is>
      </c>
      <c r="C9">
        <f>B8*Assumptions!$B$6</f>
        <v/>
      </c>
      <c r="D9">
        <f>C9*(1+Assumptions!$B$7)</f>
        <v/>
      </c>
      <c r="E9">
        <f>D9*(1+Assumptions!$B$7)</f>
        <v/>
      </c>
      <c r="F9">
        <f>E9*(1+Assumptions!$B$7)</f>
        <v/>
      </c>
      <c r="G9">
        <f>F9*(1+Assumptions!$B$7)</f>
        <v/>
      </c>
      <c r="H9">
        <f>G9*(1+Assumptions!$B$7)</f>
        <v/>
      </c>
      <c r="I9">
        <f>H9*(1+Assumptions!$B$7)</f>
        <v/>
      </c>
      <c r="J9">
        <f>I9*(1+Assumptions!$B$7)</f>
        <v/>
      </c>
      <c r="K9">
        <f>J9*(1+Assumptions!$B$7)</f>
        <v/>
      </c>
      <c r="L9">
        <f>K9*(1+Assumptions!$B$7)</f>
        <v/>
      </c>
      <c r="M9">
        <f>L9*(1+Assumptions!$B$7)</f>
        <v/>
      </c>
      <c r="N9">
        <f>M9*(1+Assumptions!$B$7)</f>
        <v/>
      </c>
      <c r="O9">
        <f>N9*(1+Assumptions!$B$7)</f>
        <v/>
      </c>
      <c r="P9">
        <f>O9*(1+Assumptions!$B$7)</f>
        <v/>
      </c>
      <c r="Q9">
        <f>P9*(1+Assumptions!$B$7)</f>
        <v/>
      </c>
      <c r="R9">
        <f>Q9*(1+Assumptions!$B$7)</f>
        <v/>
      </c>
      <c r="S9">
        <f>R9*(1+Assumptions!$B$7)</f>
        <v/>
      </c>
      <c r="T9">
        <f>S9*(1+Assumptions!$B$7)</f>
        <v/>
      </c>
      <c r="U9">
        <f>T9*(1+Assumptions!$B$7)</f>
        <v/>
      </c>
      <c r="V9">
        <f>U9*(1+Assumptions!$B$7)</f>
        <v/>
      </c>
      <c r="W9">
        <f>V9*(1+Assumptions!$B$7)</f>
        <v/>
      </c>
      <c r="X9">
        <f>W9*(1+Assumptions!$B$7)</f>
        <v/>
      </c>
      <c r="Y9">
        <f>X9*(1+Assumptions!$B$7)</f>
        <v/>
      </c>
      <c r="Z9">
        <f>Y9*(1+Assumptions!$B$7)</f>
        <v/>
      </c>
      <c r="AA9">
        <f>Z9*(1+Assumptions!$B$7)</f>
        <v/>
      </c>
    </row>
    <row r="10"/>
    <row r="11" customFormat="1" s="11">
      <c r="A11" s="11" t="inlineStr">
        <is>
          <t>Gross Block (Opening)</t>
        </is>
      </c>
      <c r="C11" s="11">
        <f>B13</f>
        <v/>
      </c>
      <c r="D11" s="11">
        <f>C13</f>
        <v/>
      </c>
      <c r="E11" s="11">
        <f>D13</f>
        <v/>
      </c>
      <c r="F11" s="11">
        <f>E13</f>
        <v/>
      </c>
      <c r="G11" s="11">
        <f>F13</f>
        <v/>
      </c>
      <c r="H11" s="11">
        <f>G13</f>
        <v/>
      </c>
      <c r="I11" s="11">
        <f>H13</f>
        <v/>
      </c>
      <c r="J11" s="11">
        <f>I13</f>
        <v/>
      </c>
      <c r="K11" s="11">
        <f>J13</f>
        <v/>
      </c>
      <c r="L11" s="11">
        <f>K13</f>
        <v/>
      </c>
      <c r="M11" s="11">
        <f>L13</f>
        <v/>
      </c>
      <c r="N11" s="11">
        <f>M13</f>
        <v/>
      </c>
      <c r="O11" s="11">
        <f>N13</f>
        <v/>
      </c>
      <c r="P11" s="11">
        <f>O13</f>
        <v/>
      </c>
      <c r="Q11" s="11">
        <f>P13</f>
        <v/>
      </c>
      <c r="R11" s="11">
        <f>Q13</f>
        <v/>
      </c>
      <c r="S11" s="11">
        <f>R13</f>
        <v/>
      </c>
      <c r="T11" s="11">
        <f>S13</f>
        <v/>
      </c>
      <c r="U11" s="11">
        <f>T13</f>
        <v/>
      </c>
      <c r="V11" s="11">
        <f>U13</f>
        <v/>
      </c>
      <c r="W11" s="11">
        <f>V13</f>
        <v/>
      </c>
      <c r="X11" s="11">
        <f>W13</f>
        <v/>
      </c>
      <c r="Y11" s="11">
        <f>X13</f>
        <v/>
      </c>
      <c r="Z11" s="11">
        <f>Y13</f>
        <v/>
      </c>
      <c r="AA11" s="11">
        <f>Z13</f>
        <v/>
      </c>
    </row>
    <row r="12" customFormat="1" s="11">
      <c r="A12" s="11" t="inlineStr">
        <is>
          <t>CAPEX Addition</t>
        </is>
      </c>
      <c r="B12">
        <f>B8</f>
        <v/>
      </c>
    </row>
    <row r="13" customFormat="1" s="11">
      <c r="A13" s="11" t="inlineStr">
        <is>
          <t>Gross Block (Closing)</t>
        </is>
      </c>
      <c r="B13">
        <f>B11+B12</f>
        <v/>
      </c>
      <c r="C13" s="11">
        <f>C11+C12</f>
        <v/>
      </c>
      <c r="D13" s="11">
        <f>D11+D12</f>
        <v/>
      </c>
      <c r="E13" s="11">
        <f>E11+E12</f>
        <v/>
      </c>
      <c r="F13" s="11">
        <f>F11+F12</f>
        <v/>
      </c>
      <c r="G13" s="11">
        <f>G11+G12</f>
        <v/>
      </c>
      <c r="H13" s="11">
        <f>H11+H12</f>
        <v/>
      </c>
      <c r="I13" s="11">
        <f>I11+I12</f>
        <v/>
      </c>
      <c r="J13" s="11">
        <f>J11+J12</f>
        <v/>
      </c>
      <c r="K13" s="11">
        <f>K11+K12</f>
        <v/>
      </c>
      <c r="L13" s="11">
        <f>L11+L12</f>
        <v/>
      </c>
      <c r="M13" s="11">
        <f>M11+M12</f>
        <v/>
      </c>
      <c r="N13" s="11">
        <f>N11+N12</f>
        <v/>
      </c>
      <c r="O13" s="11">
        <f>O11+O12</f>
        <v/>
      </c>
      <c r="P13" s="11">
        <f>P11+P12</f>
        <v/>
      </c>
      <c r="Q13" s="11">
        <f>Q11+Q12</f>
        <v/>
      </c>
      <c r="R13" s="11">
        <f>R11+R12</f>
        <v/>
      </c>
      <c r="S13" s="11">
        <f>S11+S12</f>
        <v/>
      </c>
      <c r="T13" s="11">
        <f>T11+T12</f>
        <v/>
      </c>
      <c r="U13" s="11">
        <f>U11+U12</f>
        <v/>
      </c>
      <c r="V13" s="11">
        <f>V11+V12</f>
        <v/>
      </c>
      <c r="W13" s="11">
        <f>W11+W12</f>
        <v/>
      </c>
      <c r="X13" s="11">
        <f>X11+X12</f>
        <v/>
      </c>
      <c r="Y13" s="11">
        <f>Y11+Y12</f>
        <v/>
      </c>
      <c r="Z13" s="11">
        <f>Z11+Z12</f>
        <v/>
      </c>
      <c r="AA13" s="11">
        <f>AA11+AA12</f>
        <v/>
      </c>
    </row>
    <row r="14" customFormat="1" s="11">
      <c r="A14" s="11" t="inlineStr">
        <is>
          <t>Depreciation</t>
        </is>
      </c>
      <c r="B14" s="12">
        <f>C13*Assumptions!$B$16</f>
        <v/>
      </c>
      <c r="C14" s="12">
        <f>C11*Assumptions!$B$16</f>
        <v/>
      </c>
      <c r="D14">
        <f>C15*Assumptions!$B$16</f>
        <v/>
      </c>
      <c r="E14">
        <f>D15*Assumptions!$B$16</f>
        <v/>
      </c>
      <c r="F14">
        <f>E15*Assumptions!$B$16</f>
        <v/>
      </c>
      <c r="G14">
        <f>F15*Assumptions!$B$16</f>
        <v/>
      </c>
      <c r="H14">
        <f>G15*Assumptions!$B$16</f>
        <v/>
      </c>
      <c r="I14">
        <f>H15*Assumptions!$B$16</f>
        <v/>
      </c>
      <c r="J14">
        <f>I15*Assumptions!$B$16</f>
        <v/>
      </c>
      <c r="K14">
        <f>J15*Assumptions!$B$16</f>
        <v/>
      </c>
      <c r="L14">
        <f>K15*Assumptions!$B$16</f>
        <v/>
      </c>
      <c r="M14">
        <f>L15*Assumptions!$B$16</f>
        <v/>
      </c>
      <c r="N14">
        <f>M15*Assumptions!$B$16</f>
        <v/>
      </c>
      <c r="O14">
        <f>N15*Assumptions!$B$16</f>
        <v/>
      </c>
      <c r="P14">
        <f>O15*Assumptions!$B$16</f>
        <v/>
      </c>
      <c r="Q14">
        <f>P15*Assumptions!$B$16</f>
        <v/>
      </c>
      <c r="R14">
        <f>Q15*Assumptions!$B$16</f>
        <v/>
      </c>
      <c r="S14">
        <f>R15*Assumptions!$B$16</f>
        <v/>
      </c>
      <c r="T14">
        <f>S15*Assumptions!$B$16</f>
        <v/>
      </c>
      <c r="U14">
        <f>T15*Assumptions!$B$16</f>
        <v/>
      </c>
      <c r="V14">
        <f>U15*Assumptions!$B$16</f>
        <v/>
      </c>
      <c r="W14">
        <f>V15*Assumptions!$B$16</f>
        <v/>
      </c>
      <c r="X14">
        <f>W15*Assumptions!$B$16</f>
        <v/>
      </c>
      <c r="Y14">
        <f>X15*Assumptions!$B$16</f>
        <v/>
      </c>
      <c r="Z14">
        <f>Y15*Assumptions!$B$16</f>
        <v/>
      </c>
      <c r="AA14">
        <f>Z15*Assumptions!$B$16</f>
        <v/>
      </c>
    </row>
    <row r="15" customFormat="1" s="11">
      <c r="A15" s="11" t="inlineStr">
        <is>
          <t>Net Block (Closing)</t>
        </is>
      </c>
      <c r="B15">
        <f>C13-C14</f>
        <v/>
      </c>
      <c r="C15" s="11">
        <f>C11-C14</f>
        <v/>
      </c>
      <c r="D15" s="11">
        <f>C15-D14</f>
        <v/>
      </c>
      <c r="E15" s="11">
        <f>D15-E14</f>
        <v/>
      </c>
      <c r="F15" s="11">
        <f>E15-F14</f>
        <v/>
      </c>
      <c r="G15" s="11">
        <f>F15-G14</f>
        <v/>
      </c>
      <c r="H15" s="11">
        <f>G15-H14</f>
        <v/>
      </c>
      <c r="I15" s="11">
        <f>H15-I14</f>
        <v/>
      </c>
      <c r="J15" s="11">
        <f>I15-J14</f>
        <v/>
      </c>
      <c r="K15" s="11">
        <f>J15-K14</f>
        <v/>
      </c>
      <c r="L15" s="11">
        <f>K15-L14</f>
        <v/>
      </c>
      <c r="M15" s="11">
        <f>L15-M14</f>
        <v/>
      </c>
      <c r="N15" s="11">
        <f>M15-N14</f>
        <v/>
      </c>
      <c r="O15" s="11">
        <f>N15-O14</f>
        <v/>
      </c>
      <c r="P15" s="11">
        <f>O15-P14</f>
        <v/>
      </c>
      <c r="Q15" s="11">
        <f>P15-Q14</f>
        <v/>
      </c>
      <c r="R15" s="11">
        <f>Q15-R14</f>
        <v/>
      </c>
      <c r="S15" s="11">
        <f>R15-S14</f>
        <v/>
      </c>
      <c r="T15" s="11">
        <f>S15-T14</f>
        <v/>
      </c>
      <c r="U15" s="11">
        <f>T15-U14</f>
        <v/>
      </c>
      <c r="V15" s="11">
        <f>U15-V14</f>
        <v/>
      </c>
      <c r="W15" s="11">
        <f>V15-W14</f>
        <v/>
      </c>
      <c r="X15" s="11">
        <f>W15-X14</f>
        <v/>
      </c>
      <c r="Y15" s="11">
        <f>X15-Y14</f>
        <v/>
      </c>
      <c r="Z15" s="11">
        <f>Y15-Z14</f>
        <v/>
      </c>
      <c r="AA15" s="11">
        <f>Z15-AA14</f>
        <v/>
      </c>
    </row>
    <row r="16"/>
    <row r="17">
      <c r="A17" t="inlineStr">
        <is>
          <t>Earnings Before Tax (EBT)</t>
        </is>
      </c>
      <c r="C17">
        <f>C6-C9-C14</f>
        <v/>
      </c>
      <c r="D17">
        <f>D6-D9-D14</f>
        <v/>
      </c>
      <c r="E17">
        <f>E6-E9-E14</f>
        <v/>
      </c>
      <c r="F17">
        <f>F6-F9-F14</f>
        <v/>
      </c>
      <c r="G17">
        <f>G6-G9-G14</f>
        <v/>
      </c>
      <c r="H17">
        <f>H6-H9-H14</f>
        <v/>
      </c>
      <c r="I17">
        <f>I6-I9-I14</f>
        <v/>
      </c>
      <c r="J17">
        <f>J6-J9-J14</f>
        <v/>
      </c>
      <c r="K17">
        <f>K6-K9-K14</f>
        <v/>
      </c>
      <c r="L17">
        <f>L6-L9-L14</f>
        <v/>
      </c>
      <c r="M17">
        <f>M6-M9-M14</f>
        <v/>
      </c>
      <c r="N17">
        <f>N6-N9-N14</f>
        <v/>
      </c>
      <c r="O17">
        <f>O6-O9-O14</f>
        <v/>
      </c>
      <c r="P17">
        <f>P6-P9-P14</f>
        <v/>
      </c>
      <c r="Q17">
        <f>Q6-Q9-Q14</f>
        <v/>
      </c>
      <c r="R17">
        <f>R6-R9-R14</f>
        <v/>
      </c>
      <c r="S17">
        <f>S6-S9-S14</f>
        <v/>
      </c>
      <c r="T17">
        <f>T6-T9-T14</f>
        <v/>
      </c>
      <c r="U17">
        <f>U6-U9-U14</f>
        <v/>
      </c>
      <c r="V17">
        <f>V6-V9-V14</f>
        <v/>
      </c>
      <c r="W17">
        <f>W6-W9-W14</f>
        <v/>
      </c>
      <c r="X17">
        <f>X6-X9-X14</f>
        <v/>
      </c>
      <c r="Y17">
        <f>Y6-Y9-Y14</f>
        <v/>
      </c>
      <c r="Z17">
        <f>Z6-Z9-Z14</f>
        <v/>
      </c>
      <c r="AA17">
        <f>AA6-AA9-AA14</f>
        <v/>
      </c>
    </row>
    <row r="18">
      <c r="A18" t="inlineStr">
        <is>
          <t>Taxes</t>
        </is>
      </c>
      <c r="C18">
        <f>MAX(0,C17)*Assumptions!$B$15</f>
        <v/>
      </c>
      <c r="D18">
        <f>MAX(0,D17)*Assumptions!$B$15</f>
        <v/>
      </c>
      <c r="E18">
        <f>MAX(0,E17)*Assumptions!$B$15</f>
        <v/>
      </c>
      <c r="F18">
        <f>MAX(0,F17)*Assumptions!$B$15</f>
        <v/>
      </c>
      <c r="G18">
        <f>MAX(0,G17)*Assumptions!$B$15</f>
        <v/>
      </c>
      <c r="H18">
        <f>MAX(0,H17)*Assumptions!$B$15</f>
        <v/>
      </c>
      <c r="I18">
        <f>MAX(0,I17)*Assumptions!$B$15</f>
        <v/>
      </c>
      <c r="J18">
        <f>MAX(0,J17)*Assumptions!$B$15</f>
        <v/>
      </c>
      <c r="K18">
        <f>MAX(0,K17)*Assumptions!$B$15</f>
        <v/>
      </c>
      <c r="L18">
        <f>MAX(0,L17)*Assumptions!$B$15</f>
        <v/>
      </c>
      <c r="M18">
        <f>MAX(0,M17)*Assumptions!$B$15</f>
        <v/>
      </c>
      <c r="N18">
        <f>MAX(0,N17)*Assumptions!$B$15</f>
        <v/>
      </c>
      <c r="O18">
        <f>MAX(0,O17)*Assumptions!$B$15</f>
        <v/>
      </c>
      <c r="P18">
        <f>MAX(0,P17)*Assumptions!$B$15</f>
        <v/>
      </c>
      <c r="Q18">
        <f>MAX(0,Q17)*Assumptions!$B$15</f>
        <v/>
      </c>
      <c r="R18">
        <f>MAX(0,R17)*Assumptions!$B$15</f>
        <v/>
      </c>
      <c r="S18">
        <f>MAX(0,S17)*Assumptions!$B$15</f>
        <v/>
      </c>
      <c r="T18">
        <f>MAX(0,T17)*Assumptions!$B$15</f>
        <v/>
      </c>
      <c r="U18">
        <f>MAX(0,U17)*Assumptions!$B$15</f>
        <v/>
      </c>
      <c r="V18">
        <f>MAX(0,V17)*Assumptions!$B$15</f>
        <v/>
      </c>
      <c r="W18">
        <f>MAX(0,W17)*Assumptions!$B$15</f>
        <v/>
      </c>
      <c r="X18">
        <f>MAX(0,X17)*Assumptions!$B$15</f>
        <v/>
      </c>
      <c r="Y18">
        <f>MAX(0,Y17)*Assumptions!$B$15</f>
        <v/>
      </c>
      <c r="Z18">
        <f>MAX(0,Z17)*Assumptions!$B$15</f>
        <v/>
      </c>
      <c r="AA18">
        <f>MAX(0,AA17)*Assumptions!$B$15</f>
        <v/>
      </c>
    </row>
    <row r="19"/>
    <row r="20">
      <c r="A20" t="inlineStr">
        <is>
          <t>Debt Drawdown</t>
        </is>
      </c>
      <c r="B20">
        <f>Assumptions!$B$19</f>
        <v/>
      </c>
    </row>
    <row r="21">
      <c r="A21" t="inlineStr">
        <is>
          <t>Opening Debt Balance</t>
        </is>
      </c>
      <c r="C21">
        <f>B24</f>
        <v/>
      </c>
      <c r="D21">
        <f>C24</f>
        <v/>
      </c>
      <c r="E21">
        <f>D24</f>
        <v/>
      </c>
      <c r="F21">
        <f>E24</f>
        <v/>
      </c>
      <c r="G21">
        <f>F24</f>
        <v/>
      </c>
      <c r="H21">
        <f>G24</f>
        <v/>
      </c>
      <c r="I21">
        <f>H24</f>
        <v/>
      </c>
      <c r="J21">
        <f>I24</f>
        <v/>
      </c>
      <c r="K21">
        <f>J24</f>
        <v/>
      </c>
      <c r="L21">
        <f>K24</f>
        <v/>
      </c>
      <c r="M21">
        <f>L24</f>
        <v/>
      </c>
      <c r="N21">
        <f>M24</f>
        <v/>
      </c>
      <c r="O21">
        <f>N24</f>
        <v/>
      </c>
      <c r="P21">
        <f>O24</f>
        <v/>
      </c>
      <c r="Q21">
        <f>P24</f>
        <v/>
      </c>
    </row>
    <row r="22">
      <c r="A22" t="inlineStr">
        <is>
          <t>Principal Repayment</t>
        </is>
      </c>
      <c r="C22" s="19">
        <f>-PPMT(Assumptions!$B$13, C2, Assumptions!$B$14, Assumptions!$B$19)</f>
        <v/>
      </c>
      <c r="D22" s="19">
        <f>-PPMT(Assumptions!$B$13, D2, Assumptions!$B$14, Assumptions!$B$19)</f>
        <v/>
      </c>
      <c r="E22" s="19">
        <f>-PPMT(Assumptions!$B$13, E2, Assumptions!$B$14, Assumptions!$B$19)</f>
        <v/>
      </c>
      <c r="F22" s="19">
        <f>-PPMT(Assumptions!$B$13, F2, Assumptions!$B$14, Assumptions!$B$19)</f>
        <v/>
      </c>
      <c r="G22" s="19">
        <f>-PPMT(Assumptions!$B$13, G2, Assumptions!$B$14, Assumptions!$B$19)</f>
        <v/>
      </c>
      <c r="H22" s="19">
        <f>-PPMT(Assumptions!$B$13, H2, Assumptions!$B$14, Assumptions!$B$19)</f>
        <v/>
      </c>
      <c r="I22" s="19">
        <f>-PPMT(Assumptions!$B$13, I2, Assumptions!$B$14, Assumptions!$B$19)</f>
        <v/>
      </c>
      <c r="J22" s="19">
        <f>-PPMT(Assumptions!$B$13, J2, Assumptions!$B$14, Assumptions!$B$19)</f>
        <v/>
      </c>
      <c r="K22" s="19">
        <f>-PPMT(Assumptions!$B$13, K2, Assumptions!$B$14, Assumptions!$B$19)</f>
        <v/>
      </c>
      <c r="L22" s="19">
        <f>-PPMT(Assumptions!$B$13, L2, Assumptions!$B$14, Assumptions!$B$19)</f>
        <v/>
      </c>
      <c r="M22" s="19">
        <f>-PPMT(Assumptions!$B$13, M2, Assumptions!$B$14, Assumptions!$B$19)</f>
        <v/>
      </c>
      <c r="N22" s="19">
        <f>-PPMT(Assumptions!$B$13, N2, Assumptions!$B$14, Assumptions!$B$19)</f>
        <v/>
      </c>
      <c r="O22" s="19">
        <f>-PPMT(Assumptions!$B$13, O2, Assumptions!$B$14, Assumptions!$B$19)</f>
        <v/>
      </c>
      <c r="P22" s="19">
        <f>-PPMT(Assumptions!$B$13, P2, Assumptions!$B$14, Assumptions!$B$19)</f>
        <v/>
      </c>
      <c r="Q22" s="19">
        <f>-PPMT(Assumptions!$B$13, Q2, Assumptions!$B$14, Assumptions!$B$19)</f>
        <v/>
      </c>
    </row>
    <row r="23">
      <c r="A23" t="inlineStr">
        <is>
          <t xml:space="preserve">Interest Paid </t>
        </is>
      </c>
      <c r="C23">
        <f>C21*Assumptions!$B$13</f>
        <v/>
      </c>
      <c r="D23">
        <f>D21*Assumptions!$B$13</f>
        <v/>
      </c>
      <c r="E23">
        <f>E21*Assumptions!$B$13</f>
        <v/>
      </c>
      <c r="F23">
        <f>F21*Assumptions!$B$13</f>
        <v/>
      </c>
      <c r="G23">
        <f>G21*Assumptions!$B$13</f>
        <v/>
      </c>
      <c r="H23">
        <f>H21*Assumptions!$B$13</f>
        <v/>
      </c>
      <c r="I23">
        <f>I21*Assumptions!$B$13</f>
        <v/>
      </c>
      <c r="J23">
        <f>J21*Assumptions!$B$13</f>
        <v/>
      </c>
      <c r="K23">
        <f>K21*Assumptions!$B$13</f>
        <v/>
      </c>
      <c r="L23">
        <f>L21*Assumptions!$B$13</f>
        <v/>
      </c>
      <c r="M23">
        <f>M21*Assumptions!$B$13</f>
        <v/>
      </c>
      <c r="N23">
        <f>N21*Assumptions!$B$13</f>
        <v/>
      </c>
      <c r="O23">
        <f>O21*Assumptions!$B$13</f>
        <v/>
      </c>
      <c r="P23">
        <f>P21*Assumptions!$B$13</f>
        <v/>
      </c>
      <c r="Q23">
        <f>Q21*Assumptions!$B$13</f>
        <v/>
      </c>
    </row>
    <row r="24">
      <c r="A24" s="12" t="inlineStr">
        <is>
          <t>Closing Debt Balance</t>
        </is>
      </c>
      <c r="B24">
        <f>B20</f>
        <v/>
      </c>
      <c r="C24" s="19">
        <f>C21-C22</f>
        <v/>
      </c>
      <c r="D24" s="19">
        <f>D21-D22</f>
        <v/>
      </c>
      <c r="E24" s="19">
        <f>E21-E22</f>
        <v/>
      </c>
      <c r="F24" s="19">
        <f>F21-F22</f>
        <v/>
      </c>
      <c r="G24" s="19">
        <f>G21-G22</f>
        <v/>
      </c>
      <c r="H24" s="19">
        <f>H21-H22</f>
        <v/>
      </c>
      <c r="I24" s="19">
        <f>I21-I22</f>
        <v/>
      </c>
      <c r="J24" s="19">
        <f>J21-J22</f>
        <v/>
      </c>
      <c r="K24" s="19">
        <f>K21-K22</f>
        <v/>
      </c>
      <c r="L24" s="19">
        <f>L21-L22</f>
        <v/>
      </c>
      <c r="M24" s="19">
        <f>M21-M22</f>
        <v/>
      </c>
      <c r="N24" s="19">
        <f>N21-N22</f>
        <v/>
      </c>
      <c r="O24" s="19">
        <f>O21-O22</f>
        <v/>
      </c>
      <c r="P24" s="19">
        <f>P21-P22</f>
        <v/>
      </c>
      <c r="Q24" s="19">
        <f>Q21-Q22</f>
        <v/>
      </c>
    </row>
    <row r="25"/>
    <row r="26">
      <c r="A26" s="12" t="n"/>
    </row>
    <row r="27"/>
    <row r="28">
      <c r="A28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topLeftCell="A8" workbookViewId="0">
      <selection activeCell="C17" sqref="C17"/>
    </sheetView>
  </sheetViews>
  <sheetFormatPr baseColWidth="8" defaultRowHeight="14.5"/>
  <cols>
    <col width="28.90625" customWidth="1" min="1" max="1"/>
    <col width="14.1796875" customWidth="1" min="3" max="3"/>
    <col width="15.26953125" customWidth="1" min="4" max="4"/>
    <col width="14.6328125" customWidth="1" min="5" max="5"/>
    <col width="16.90625" customWidth="1" min="6" max="6"/>
    <col width="16.36328125" customWidth="1" min="7" max="7"/>
    <col width="15.7265625" customWidth="1" min="8" max="8"/>
    <col width="15.36328125" customWidth="1" min="9" max="9"/>
    <col width="16" customWidth="1" min="10" max="11"/>
    <col width="16.453125" customWidth="1" min="12" max="12"/>
    <col width="16.36328125" customWidth="1" min="13" max="13"/>
    <col width="15.6328125" customWidth="1" min="14" max="14"/>
    <col width="16" customWidth="1" min="15" max="15"/>
    <col width="17" customWidth="1" min="16" max="16"/>
    <col width="16.81640625" customWidth="1" min="17" max="17"/>
  </cols>
  <sheetData>
    <row r="1"/>
    <row r="2"/>
    <row r="3">
      <c r="B3" t="inlineStr">
        <is>
          <t>Year 0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  <c r="H3" t="inlineStr">
        <is>
          <t>Year 6</t>
        </is>
      </c>
      <c r="I3" t="inlineStr">
        <is>
          <t>Year 7</t>
        </is>
      </c>
      <c r="J3" t="inlineStr">
        <is>
          <t>Year 8</t>
        </is>
      </c>
      <c r="K3" t="inlineStr">
        <is>
          <t>Year 9</t>
        </is>
      </c>
      <c r="L3" t="inlineStr">
        <is>
          <t>Year 10</t>
        </is>
      </c>
      <c r="M3" t="inlineStr">
        <is>
          <t>Year 11</t>
        </is>
      </c>
      <c r="N3" t="inlineStr">
        <is>
          <t>Year 12</t>
        </is>
      </c>
      <c r="O3" t="inlineStr">
        <is>
          <t>Year 13</t>
        </is>
      </c>
      <c r="P3" t="inlineStr">
        <is>
          <t>Year 14</t>
        </is>
      </c>
      <c r="Q3" t="inlineStr">
        <is>
          <t>Year 15</t>
        </is>
      </c>
      <c r="R3" t="inlineStr">
        <is>
          <t>Year 16</t>
        </is>
      </c>
      <c r="S3" t="inlineStr">
        <is>
          <t>Year 17</t>
        </is>
      </c>
      <c r="T3" t="inlineStr">
        <is>
          <t>Year 18</t>
        </is>
      </c>
      <c r="U3" t="inlineStr">
        <is>
          <t>Year 19</t>
        </is>
      </c>
      <c r="V3" t="inlineStr">
        <is>
          <t>Year 20</t>
        </is>
      </c>
      <c r="W3" t="inlineStr">
        <is>
          <t>Year 21</t>
        </is>
      </c>
      <c r="X3" t="inlineStr">
        <is>
          <t>Year 22</t>
        </is>
      </c>
      <c r="Y3" t="inlineStr">
        <is>
          <t>Year 23</t>
        </is>
      </c>
      <c r="Z3" t="inlineStr">
        <is>
          <t>Year 24</t>
        </is>
      </c>
      <c r="AA3" t="inlineStr">
        <is>
          <t>Year 25</t>
        </is>
      </c>
    </row>
    <row r="4"/>
    <row r="5">
      <c r="A5" t="inlineStr">
        <is>
          <t>Revenue</t>
        </is>
      </c>
      <c r="C5">
        <f>Calculations!C6</f>
        <v/>
      </c>
      <c r="D5">
        <f>Calculations!D6</f>
        <v/>
      </c>
      <c r="E5">
        <f>Calculations!E6</f>
        <v/>
      </c>
      <c r="F5">
        <f>Calculations!F6</f>
        <v/>
      </c>
      <c r="G5">
        <f>Calculations!G6</f>
        <v/>
      </c>
      <c r="H5">
        <f>Calculations!H6</f>
        <v/>
      </c>
      <c r="I5">
        <f>Calculations!I6</f>
        <v/>
      </c>
      <c r="J5">
        <f>Calculations!J6</f>
        <v/>
      </c>
      <c r="K5">
        <f>Calculations!K6</f>
        <v/>
      </c>
      <c r="L5">
        <f>Calculations!L6</f>
        <v/>
      </c>
      <c r="M5">
        <f>Calculations!M6</f>
        <v/>
      </c>
      <c r="N5">
        <f>Calculations!N6</f>
        <v/>
      </c>
      <c r="O5">
        <f>Calculations!O6</f>
        <v/>
      </c>
      <c r="P5">
        <f>Calculations!P6</f>
        <v/>
      </c>
      <c r="Q5">
        <f>Calculations!Q6</f>
        <v/>
      </c>
      <c r="R5">
        <f>Calculations!R6</f>
        <v/>
      </c>
      <c r="S5">
        <f>Calculations!S6</f>
        <v/>
      </c>
      <c r="T5">
        <f>Calculations!T6</f>
        <v/>
      </c>
      <c r="U5">
        <f>Calculations!U6</f>
        <v/>
      </c>
      <c r="V5">
        <f>Calculations!V6</f>
        <v/>
      </c>
      <c r="W5">
        <f>Calculations!W6</f>
        <v/>
      </c>
      <c r="X5">
        <f>Calculations!X6</f>
        <v/>
      </c>
      <c r="Y5">
        <f>Calculations!Y6</f>
        <v/>
      </c>
      <c r="Z5">
        <f>Calculations!Z6</f>
        <v/>
      </c>
      <c r="AA5">
        <f>Calculations!AA6</f>
        <v/>
      </c>
    </row>
    <row r="6">
      <c r="A6" t="inlineStr">
        <is>
          <t>Operating Expenditure (OPEX)</t>
        </is>
      </c>
      <c r="C6">
        <f>Calculations!C9</f>
        <v/>
      </c>
      <c r="D6">
        <f>Calculations!D9</f>
        <v/>
      </c>
      <c r="E6">
        <f>Calculations!E9</f>
        <v/>
      </c>
      <c r="F6">
        <f>Calculations!F9</f>
        <v/>
      </c>
      <c r="G6">
        <f>Calculations!G9</f>
        <v/>
      </c>
      <c r="H6">
        <f>Calculations!H9</f>
        <v/>
      </c>
      <c r="I6">
        <f>Calculations!I9</f>
        <v/>
      </c>
      <c r="J6">
        <f>Calculations!J9</f>
        <v/>
      </c>
      <c r="K6">
        <f>Calculations!K9</f>
        <v/>
      </c>
      <c r="L6">
        <f>Calculations!L9</f>
        <v/>
      </c>
      <c r="M6">
        <f>Calculations!M9</f>
        <v/>
      </c>
      <c r="N6">
        <f>Calculations!N9</f>
        <v/>
      </c>
      <c r="O6">
        <f>Calculations!O9</f>
        <v/>
      </c>
      <c r="P6">
        <f>Calculations!P9</f>
        <v/>
      </c>
      <c r="Q6">
        <f>Calculations!Q9</f>
        <v/>
      </c>
      <c r="R6">
        <f>Calculations!R9</f>
        <v/>
      </c>
      <c r="S6">
        <f>Calculations!S9</f>
        <v/>
      </c>
      <c r="T6">
        <f>Calculations!T9</f>
        <v/>
      </c>
      <c r="U6">
        <f>Calculations!U9</f>
        <v/>
      </c>
      <c r="V6">
        <f>Calculations!V9</f>
        <v/>
      </c>
      <c r="W6">
        <f>Calculations!W9</f>
        <v/>
      </c>
      <c r="X6">
        <f>Calculations!X9</f>
        <v/>
      </c>
      <c r="Y6">
        <f>Calculations!Y9</f>
        <v/>
      </c>
      <c r="Z6">
        <f>Calculations!Z9</f>
        <v/>
      </c>
      <c r="AA6">
        <f>Calculations!AA9</f>
        <v/>
      </c>
    </row>
    <row r="7">
      <c r="A7" t="inlineStr">
        <is>
          <t>Depreciation</t>
        </is>
      </c>
      <c r="C7">
        <f>Calculations!C14</f>
        <v/>
      </c>
      <c r="D7">
        <f>Calculations!D14</f>
        <v/>
      </c>
      <c r="E7">
        <f>Calculations!E14</f>
        <v/>
      </c>
      <c r="F7">
        <f>Calculations!F14</f>
        <v/>
      </c>
      <c r="G7">
        <f>Calculations!G14</f>
        <v/>
      </c>
      <c r="H7">
        <f>Calculations!H14</f>
        <v/>
      </c>
      <c r="I7">
        <f>Calculations!I14</f>
        <v/>
      </c>
      <c r="J7">
        <f>Calculations!J14</f>
        <v/>
      </c>
      <c r="K7">
        <f>Calculations!K14</f>
        <v/>
      </c>
      <c r="L7">
        <f>Calculations!L14</f>
        <v/>
      </c>
      <c r="M7">
        <f>Calculations!M14</f>
        <v/>
      </c>
      <c r="N7">
        <f>Calculations!N14</f>
        <v/>
      </c>
      <c r="O7">
        <f>Calculations!O14</f>
        <v/>
      </c>
      <c r="P7">
        <f>Calculations!P14</f>
        <v/>
      </c>
      <c r="Q7">
        <f>Calculations!Q14</f>
        <v/>
      </c>
      <c r="R7">
        <f>Calculations!R14</f>
        <v/>
      </c>
      <c r="S7">
        <f>Calculations!S14</f>
        <v/>
      </c>
      <c r="T7">
        <f>Calculations!T14</f>
        <v/>
      </c>
      <c r="U7">
        <f>Calculations!U14</f>
        <v/>
      </c>
      <c r="V7">
        <f>Calculations!V14</f>
        <v/>
      </c>
      <c r="W7">
        <f>Calculations!W14</f>
        <v/>
      </c>
      <c r="X7">
        <f>Calculations!X14</f>
        <v/>
      </c>
      <c r="Y7">
        <f>Calculations!Y14</f>
        <v/>
      </c>
      <c r="Z7">
        <f>Calculations!Z14</f>
        <v/>
      </c>
      <c r="AA7">
        <f>Calculations!AA14</f>
        <v/>
      </c>
    </row>
    <row r="8">
      <c r="A8" t="inlineStr">
        <is>
          <t>Earnings Before Tax (EBT)</t>
        </is>
      </c>
      <c r="C8">
        <f>Calculations!C17</f>
        <v/>
      </c>
      <c r="D8">
        <f>Calculations!D17</f>
        <v/>
      </c>
      <c r="E8">
        <f>Calculations!E17</f>
        <v/>
      </c>
      <c r="F8">
        <f>Calculations!F17</f>
        <v/>
      </c>
      <c r="G8">
        <f>Calculations!G17</f>
        <v/>
      </c>
      <c r="H8">
        <f>Calculations!H17</f>
        <v/>
      </c>
      <c r="I8">
        <f>Calculations!I17</f>
        <v/>
      </c>
      <c r="J8">
        <f>Calculations!J17</f>
        <v/>
      </c>
      <c r="K8">
        <f>Calculations!K17</f>
        <v/>
      </c>
      <c r="L8">
        <f>Calculations!L17</f>
        <v/>
      </c>
      <c r="M8">
        <f>Calculations!M17</f>
        <v/>
      </c>
      <c r="N8">
        <f>Calculations!N17</f>
        <v/>
      </c>
      <c r="O8">
        <f>Calculations!O17</f>
        <v/>
      </c>
      <c r="P8">
        <f>Calculations!P17</f>
        <v/>
      </c>
      <c r="Q8">
        <f>Calculations!Q17</f>
        <v/>
      </c>
      <c r="R8">
        <f>Calculations!R17</f>
        <v/>
      </c>
      <c r="S8">
        <f>Calculations!S17</f>
        <v/>
      </c>
      <c r="T8">
        <f>Calculations!T17</f>
        <v/>
      </c>
      <c r="U8">
        <f>Calculations!U17</f>
        <v/>
      </c>
      <c r="V8">
        <f>Calculations!V17</f>
        <v/>
      </c>
      <c r="W8">
        <f>Calculations!W17</f>
        <v/>
      </c>
      <c r="X8">
        <f>Calculations!X17</f>
        <v/>
      </c>
      <c r="Y8">
        <f>Calculations!Y17</f>
        <v/>
      </c>
      <c r="Z8">
        <f>Calculations!Z17</f>
        <v/>
      </c>
      <c r="AA8">
        <f>Calculations!AA17</f>
        <v/>
      </c>
    </row>
    <row r="9">
      <c r="A9" t="inlineStr">
        <is>
          <t>Taxes</t>
        </is>
      </c>
      <c r="C9">
        <f>Calculations!C18</f>
        <v/>
      </c>
      <c r="D9">
        <f>Calculations!D18</f>
        <v/>
      </c>
      <c r="E9">
        <f>Calculations!E18</f>
        <v/>
      </c>
      <c r="F9">
        <f>Calculations!F18</f>
        <v/>
      </c>
      <c r="G9">
        <f>Calculations!G18</f>
        <v/>
      </c>
      <c r="H9">
        <f>Calculations!H18</f>
        <v/>
      </c>
      <c r="I9">
        <f>Calculations!I18</f>
        <v/>
      </c>
      <c r="J9">
        <f>Calculations!J18</f>
        <v/>
      </c>
      <c r="K9">
        <f>Calculations!K18</f>
        <v/>
      </c>
      <c r="L9">
        <f>Calculations!L18</f>
        <v/>
      </c>
      <c r="M9">
        <f>Calculations!M18</f>
        <v/>
      </c>
      <c r="N9">
        <f>Calculations!N18</f>
        <v/>
      </c>
      <c r="O9">
        <f>Calculations!O18</f>
        <v/>
      </c>
      <c r="P9">
        <f>Calculations!P18</f>
        <v/>
      </c>
      <c r="Q9">
        <f>Calculations!Q18</f>
        <v/>
      </c>
      <c r="R9">
        <f>Calculations!R18</f>
        <v/>
      </c>
      <c r="S9">
        <f>Calculations!S18</f>
        <v/>
      </c>
      <c r="T9">
        <f>Calculations!T18</f>
        <v/>
      </c>
      <c r="U9">
        <f>Calculations!U18</f>
        <v/>
      </c>
      <c r="V9">
        <f>Calculations!V18</f>
        <v/>
      </c>
      <c r="W9">
        <f>Calculations!W18</f>
        <v/>
      </c>
      <c r="X9">
        <f>Calculations!X18</f>
        <v/>
      </c>
      <c r="Y9">
        <f>Calculations!Y18</f>
        <v/>
      </c>
      <c r="Z9">
        <f>Calculations!Z18</f>
        <v/>
      </c>
      <c r="AA9">
        <f>Calculations!AA18</f>
        <v/>
      </c>
    </row>
    <row r="10">
      <c r="A10" t="inlineStr">
        <is>
          <t>Profit After Tax (PAT)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  <c r="H10">
        <f>H8-H9</f>
        <v/>
      </c>
      <c r="I10">
        <f>I8-I9</f>
        <v/>
      </c>
      <c r="J10">
        <f>J8-J9</f>
        <v/>
      </c>
      <c r="K10">
        <f>K8-K9</f>
        <v/>
      </c>
      <c r="L10">
        <f>L8-L9</f>
        <v/>
      </c>
      <c r="M10">
        <f>M8-M9</f>
        <v/>
      </c>
      <c r="N10">
        <f>N8-N9</f>
        <v/>
      </c>
      <c r="O10">
        <f>O8-O9</f>
        <v/>
      </c>
      <c r="P10">
        <f>P8-P9</f>
        <v/>
      </c>
      <c r="Q10">
        <f>Q8-Q9</f>
        <v/>
      </c>
      <c r="R10">
        <f>R8-R9</f>
        <v/>
      </c>
      <c r="S10">
        <f>S8-S9</f>
        <v/>
      </c>
      <c r="T10">
        <f>T8-T9</f>
        <v/>
      </c>
      <c r="U10">
        <f>U8-U9</f>
        <v/>
      </c>
      <c r="V10">
        <f>V8-V9</f>
        <v/>
      </c>
      <c r="W10">
        <f>W8-W9</f>
        <v/>
      </c>
      <c r="X10">
        <f>X8-X9</f>
        <v/>
      </c>
      <c r="Y10">
        <f>Y8-Y9</f>
        <v/>
      </c>
      <c r="Z10">
        <f>Z8-Z9</f>
        <v/>
      </c>
      <c r="AA10">
        <f>AA8-AA9</f>
        <v/>
      </c>
    </row>
    <row r="11">
      <c r="A11" t="inlineStr">
        <is>
          <t>+ Depreciation</t>
        </is>
      </c>
      <c r="C11">
        <f>Calculations!C14</f>
        <v/>
      </c>
      <c r="D11">
        <f>Calculations!D14</f>
        <v/>
      </c>
      <c r="E11">
        <f>Calculations!E14</f>
        <v/>
      </c>
      <c r="F11">
        <f>Calculations!F14</f>
        <v/>
      </c>
      <c r="G11">
        <f>Calculations!G14</f>
        <v/>
      </c>
      <c r="H11">
        <f>Calculations!H14</f>
        <v/>
      </c>
      <c r="I11">
        <f>Calculations!I14</f>
        <v/>
      </c>
      <c r="J11">
        <f>Calculations!J14</f>
        <v/>
      </c>
      <c r="K11">
        <f>Calculations!K14</f>
        <v/>
      </c>
      <c r="L11">
        <f>Calculations!L14</f>
        <v/>
      </c>
      <c r="M11">
        <f>Calculations!M14</f>
        <v/>
      </c>
      <c r="N11">
        <f>Calculations!N14</f>
        <v/>
      </c>
      <c r="O11">
        <f>Calculations!O14</f>
        <v/>
      </c>
      <c r="P11">
        <f>Calculations!P14</f>
        <v/>
      </c>
      <c r="Q11">
        <f>Calculations!Q14</f>
        <v/>
      </c>
      <c r="R11">
        <f>Calculations!R14</f>
        <v/>
      </c>
      <c r="S11">
        <f>Calculations!S14</f>
        <v/>
      </c>
      <c r="T11">
        <f>Calculations!T14</f>
        <v/>
      </c>
      <c r="U11">
        <f>Calculations!U14</f>
        <v/>
      </c>
      <c r="V11">
        <f>Calculations!V14</f>
        <v/>
      </c>
      <c r="W11">
        <f>Calculations!W14</f>
        <v/>
      </c>
      <c r="X11">
        <f>Calculations!X14</f>
        <v/>
      </c>
      <c r="Y11">
        <f>Calculations!Y14</f>
        <v/>
      </c>
      <c r="Z11">
        <f>Calculations!Z14</f>
        <v/>
      </c>
      <c r="AA11">
        <f>Calculations!AA14</f>
        <v/>
      </c>
    </row>
    <row r="12">
      <c r="A12" t="inlineStr">
        <is>
          <t>- Capital Expenditure (CAPEX)</t>
        </is>
      </c>
      <c r="C12">
        <f>-Calculations!B8</f>
        <v/>
      </c>
      <c r="D12">
        <f>-Calculations!C8</f>
        <v/>
      </c>
      <c r="E12">
        <f>-Calculations!D8</f>
        <v/>
      </c>
      <c r="F12">
        <f>-Calculations!E8</f>
        <v/>
      </c>
      <c r="G12">
        <f>-Calculations!F8</f>
        <v/>
      </c>
      <c r="H12">
        <f>-Calculations!G8</f>
        <v/>
      </c>
      <c r="I12">
        <f>-Calculations!H8</f>
        <v/>
      </c>
      <c r="J12">
        <f>-Calculations!I8</f>
        <v/>
      </c>
      <c r="K12">
        <f>-Calculations!J8</f>
        <v/>
      </c>
      <c r="L12">
        <f>-Calculations!K8</f>
        <v/>
      </c>
      <c r="M12">
        <f>-Calculations!L8</f>
        <v/>
      </c>
      <c r="N12">
        <f>-Calculations!M8</f>
        <v/>
      </c>
      <c r="O12">
        <f>-Calculations!N8</f>
        <v/>
      </c>
      <c r="P12">
        <f>-Calculations!O8</f>
        <v/>
      </c>
      <c r="Q12">
        <f>-Calculations!P8</f>
        <v/>
      </c>
      <c r="R12">
        <f>-Calculations!Q8</f>
        <v/>
      </c>
      <c r="S12">
        <f>-Calculations!R8</f>
        <v/>
      </c>
      <c r="T12">
        <f>-Calculations!S8</f>
        <v/>
      </c>
      <c r="U12">
        <f>-Calculations!T8</f>
        <v/>
      </c>
      <c r="V12">
        <f>-Calculations!U8</f>
        <v/>
      </c>
      <c r="W12">
        <f>-Calculations!V8</f>
        <v/>
      </c>
      <c r="X12">
        <f>-Calculations!W8</f>
        <v/>
      </c>
      <c r="Y12">
        <f>-Calculations!X8</f>
        <v/>
      </c>
      <c r="Z12">
        <f>-Calculations!Y8</f>
        <v/>
      </c>
      <c r="AA12">
        <f>-Calculations!Z8</f>
        <v/>
      </c>
    </row>
    <row r="13">
      <c r="A13" t="inlineStr">
        <is>
          <t>+ Debt Drawdown</t>
        </is>
      </c>
      <c r="C13">
        <f>Calculations!B20</f>
        <v/>
      </c>
      <c r="D13">
        <f>Calculations!C20</f>
        <v/>
      </c>
      <c r="E13">
        <f>Calculations!D20</f>
        <v/>
      </c>
      <c r="F13">
        <f>Calculations!E20</f>
        <v/>
      </c>
      <c r="G13">
        <f>Calculations!F20</f>
        <v/>
      </c>
      <c r="H13">
        <f>Calculations!G20</f>
        <v/>
      </c>
      <c r="I13">
        <f>Calculations!H20</f>
        <v/>
      </c>
      <c r="J13">
        <f>Calculations!I20</f>
        <v/>
      </c>
      <c r="K13">
        <f>Calculations!J20</f>
        <v/>
      </c>
      <c r="L13">
        <f>Calculations!K20</f>
        <v/>
      </c>
      <c r="M13">
        <f>Calculations!L20</f>
        <v/>
      </c>
      <c r="N13">
        <f>Calculations!M20</f>
        <v/>
      </c>
      <c r="O13">
        <f>Calculations!N20</f>
        <v/>
      </c>
      <c r="P13">
        <f>Calculations!O20</f>
        <v/>
      </c>
      <c r="Q13">
        <f>Calculations!P20</f>
        <v/>
      </c>
      <c r="R13">
        <f>Calculations!Q20</f>
        <v/>
      </c>
      <c r="S13">
        <f>Calculations!R20</f>
        <v/>
      </c>
      <c r="T13">
        <f>Calculations!S20</f>
        <v/>
      </c>
      <c r="U13">
        <f>Calculations!T20</f>
        <v/>
      </c>
      <c r="V13">
        <f>Calculations!U20</f>
        <v/>
      </c>
      <c r="W13">
        <f>Calculations!V20</f>
        <v/>
      </c>
      <c r="X13">
        <f>Calculations!W20</f>
        <v/>
      </c>
      <c r="Y13">
        <f>Calculations!X20</f>
        <v/>
      </c>
      <c r="Z13">
        <f>Calculations!Y20</f>
        <v/>
      </c>
      <c r="AA13">
        <f>Calculations!Z20</f>
        <v/>
      </c>
    </row>
    <row r="14">
      <c r="A14" t="inlineStr">
        <is>
          <t>- Principal Repayment</t>
        </is>
      </c>
      <c r="C14" s="19">
        <f>-Calculations!C22</f>
        <v/>
      </c>
      <c r="D14" s="19">
        <f>-Calculations!D22</f>
        <v/>
      </c>
      <c r="E14" s="19">
        <f>-Calculations!E22</f>
        <v/>
      </c>
      <c r="F14" s="19">
        <f>-Calculations!F22</f>
        <v/>
      </c>
      <c r="G14" s="19">
        <f>-Calculations!G22</f>
        <v/>
      </c>
      <c r="H14" s="19">
        <f>-Calculations!H22</f>
        <v/>
      </c>
      <c r="I14" s="19">
        <f>-Calculations!I22</f>
        <v/>
      </c>
      <c r="J14" s="19">
        <f>-Calculations!J22</f>
        <v/>
      </c>
      <c r="K14" s="19">
        <f>-Calculations!K22</f>
        <v/>
      </c>
      <c r="L14" s="19">
        <f>-Calculations!L22</f>
        <v/>
      </c>
      <c r="M14" s="19">
        <f>-Calculations!M22</f>
        <v/>
      </c>
      <c r="N14" s="19">
        <f>-Calculations!N22</f>
        <v/>
      </c>
      <c r="O14" s="19">
        <f>-Calculations!O22</f>
        <v/>
      </c>
      <c r="P14" s="19">
        <f>-Calculations!P22</f>
        <v/>
      </c>
      <c r="Q14" s="19">
        <f>-Calculations!Q22</f>
        <v/>
      </c>
    </row>
    <row r="15">
      <c r="A15" t="inlineStr">
        <is>
          <t>'= Free Cash Flow to Equity (FCFE)</t>
        </is>
      </c>
      <c r="B15">
        <f>B10+SUM(B11:B14)</f>
        <v/>
      </c>
      <c r="C15">
        <f>C10+SUM(C11:C14)</f>
        <v/>
      </c>
      <c r="D15">
        <f>D10+SUM(D11:D14)</f>
        <v/>
      </c>
      <c r="E15">
        <f>E10+SUM(E11:E14)</f>
        <v/>
      </c>
      <c r="F15">
        <f>F10+SUM(F11:F14)</f>
        <v/>
      </c>
      <c r="G15">
        <f>G10+SUM(G11:G14)</f>
        <v/>
      </c>
      <c r="H15">
        <f>H10+SUM(H11:H14)</f>
        <v/>
      </c>
      <c r="I15">
        <f>I10+SUM(I11:I14)</f>
        <v/>
      </c>
      <c r="J15">
        <f>J10+SUM(J11:J14)</f>
        <v/>
      </c>
      <c r="K15">
        <f>K10+SUM(K11:K14)</f>
        <v/>
      </c>
      <c r="L15">
        <f>L10+SUM(L11:L14)</f>
        <v/>
      </c>
      <c r="M15">
        <f>M10+SUM(M11:M14)</f>
        <v/>
      </c>
      <c r="N15">
        <f>N10+SUM(N11:N14)</f>
        <v/>
      </c>
      <c r="O15">
        <f>O10+SUM(O11:O14)</f>
        <v/>
      </c>
      <c r="P15">
        <f>P10+SUM(P11:P14)</f>
        <v/>
      </c>
      <c r="Q15">
        <f>Q10+SUM(Q11:Q14)</f>
        <v/>
      </c>
      <c r="R15">
        <f>R10+SUM(R11:R14)</f>
        <v/>
      </c>
      <c r="S15">
        <f>S10+SUM(S11:S14)</f>
        <v/>
      </c>
      <c r="T15">
        <f>T10+SUM(T11:T14)</f>
        <v/>
      </c>
      <c r="U15">
        <f>U10+SUM(U11:U14)</f>
        <v/>
      </c>
      <c r="V15">
        <f>V10+SUM(V11:V14)</f>
        <v/>
      </c>
      <c r="W15">
        <f>W10+SUM(W11:W14)</f>
        <v/>
      </c>
      <c r="X15">
        <f>X10+SUM(X11:X14)</f>
        <v/>
      </c>
      <c r="Y15">
        <f>Y10+SUM(Y11:Y14)</f>
        <v/>
      </c>
      <c r="Z15">
        <f>Z10+SUM(Z11:Z14)</f>
        <v/>
      </c>
      <c r="AA15">
        <f>AA10+SUM(AA11:AA14)</f>
        <v/>
      </c>
    </row>
    <row r="16">
      <c r="A16" t="inlineStr">
        <is>
          <t>Cumulative FCFE</t>
        </is>
      </c>
      <c r="B16">
        <f>B15</f>
        <v/>
      </c>
      <c r="C16">
        <f>B15+C15</f>
        <v/>
      </c>
      <c r="D16">
        <f>C15+D15</f>
        <v/>
      </c>
      <c r="E16">
        <f>D15+E15</f>
        <v/>
      </c>
      <c r="F16">
        <f>E15+F15</f>
        <v/>
      </c>
      <c r="G16">
        <f>F15+G15</f>
        <v/>
      </c>
      <c r="H16">
        <f>G15+H15</f>
        <v/>
      </c>
      <c r="I16">
        <f>H15+I15</f>
        <v/>
      </c>
      <c r="J16">
        <f>I15+J15</f>
        <v/>
      </c>
      <c r="K16">
        <f>J15+K15</f>
        <v/>
      </c>
      <c r="L16">
        <f>K15+L15</f>
        <v/>
      </c>
      <c r="M16">
        <f>L15+M15</f>
        <v/>
      </c>
      <c r="N16">
        <f>M15+N15</f>
        <v/>
      </c>
      <c r="O16">
        <f>N15+O15</f>
        <v/>
      </c>
      <c r="P16">
        <f>O15+P15</f>
        <v/>
      </c>
      <c r="Q16">
        <f>P15+Q15</f>
        <v/>
      </c>
      <c r="R16">
        <f>Q15+R15</f>
        <v/>
      </c>
      <c r="S16">
        <f>R15+S15</f>
        <v/>
      </c>
      <c r="T16">
        <f>S15+T15</f>
        <v/>
      </c>
      <c r="U16">
        <f>T15+U15</f>
        <v/>
      </c>
      <c r="V16">
        <f>U15+V15</f>
        <v/>
      </c>
      <c r="W16">
        <f>V15+W15</f>
        <v/>
      </c>
      <c r="X16">
        <f>W15+X15</f>
        <v/>
      </c>
      <c r="Y16">
        <f>X15+Y15</f>
        <v/>
      </c>
      <c r="Z16">
        <f>Y15+Z15</f>
        <v/>
      </c>
      <c r="AA16">
        <f>Z15+AA15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H4" sqref="H4"/>
    </sheetView>
  </sheetViews>
  <sheetFormatPr baseColWidth="8" defaultRowHeight="14.5"/>
  <cols>
    <col width="13.36328125" customWidth="1" min="2" max="2"/>
    <col width="10.453125" bestFit="1" customWidth="1" min="4" max="4"/>
    <col width="11.36328125" customWidth="1" min="5" max="5"/>
    <col width="18.1796875" customWidth="1" min="6" max="6"/>
    <col width="19.1796875" customWidth="1" min="7" max="7"/>
    <col width="11.81640625" customWidth="1" min="8" max="8"/>
  </cols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PAT</t>
        </is>
      </c>
      <c r="E1" t="inlineStr">
        <is>
          <t>FCFE</t>
        </is>
      </c>
      <c r="F1" t="inlineStr">
        <is>
          <t>Closing Debt Balance</t>
        </is>
      </c>
      <c r="G1" t="inlineStr">
        <is>
          <t>Principal Repayment</t>
        </is>
      </c>
      <c r="H1" t="inlineStr">
        <is>
          <t>Interest Paid</t>
        </is>
      </c>
    </row>
    <row r="2">
      <c r="A2" t="n">
        <v>0</v>
      </c>
      <c r="E2">
        <f t="array" ref="E2:E27">TRANSPOSE(Financials!B15:AA15)</f>
        <v/>
      </c>
      <c r="F2">
        <f t="array" ref="F2:F27">TRANSPOSE(Calculations!B24:AA24)</f>
        <v/>
      </c>
    </row>
    <row r="3">
      <c r="A3" t="n">
        <v>1</v>
      </c>
      <c r="B3" s="16">
        <f t="array" ref="B3:B27">TRANSPOSE(Financials!C5:AA5)</f>
        <v/>
      </c>
      <c r="C3">
        <f t="array" ref="C3:C27">TRANSPOSE(Financials!C6:AA6)</f>
        <v/>
      </c>
      <c r="D3">
        <f t="array" ref="D3:D27">TRANSPOSE(Financials!C10:AA10)</f>
        <v/>
      </c>
      <c r="E3" t="n">
        <v>-80170234.60207537</v>
      </c>
      <c r="F3" t="n">
        <v>270831765.3979246</v>
      </c>
      <c r="G3">
        <f t="array" ref="G3:G17">TRANSPOSE(Calculations!C22:Q22)</f>
        <v/>
      </c>
      <c r="H3">
        <f t="array" ref="H3:H17">TRANSPOSE(Calculations!C23:Q23)</f>
        <v/>
      </c>
    </row>
    <row r="4">
      <c r="A4">
        <f>A3+1</f>
        <v/>
      </c>
      <c r="B4" s="16" t="n">
        <v>52680012</v>
      </c>
      <c r="C4" t="n">
        <v>4200000</v>
      </c>
      <c r="D4" t="n">
        <v>-47519988</v>
      </c>
      <c r="E4" t="n">
        <v>38440795.11072747</v>
      </c>
      <c r="F4" t="n">
        <v>260792548.5086521</v>
      </c>
      <c r="G4" t="n">
        <v>10039216.88927253</v>
      </c>
      <c r="H4" t="n">
        <v>25729017.71280284</v>
      </c>
    </row>
    <row r="5">
      <c r="A5">
        <f>A4+1</f>
        <v/>
      </c>
      <c r="B5" s="16" t="n">
        <v>52363931.928</v>
      </c>
      <c r="C5" t="n">
        <v>4410000</v>
      </c>
      <c r="D5" t="n">
        <v>-9646068.072000004</v>
      </c>
      <c r="E5" t="n">
        <v>36960989.43424658</v>
      </c>
      <c r="F5" t="n">
        <v>249799606.0148986</v>
      </c>
      <c r="G5" t="n">
        <v>10992942.49375342</v>
      </c>
      <c r="H5" t="n">
        <v>24775292.10832195</v>
      </c>
    </row>
    <row r="6">
      <c r="A6">
        <f>A5+1</f>
        <v/>
      </c>
      <c r="B6" s="16" t="n">
        <v>52049748.336432</v>
      </c>
      <c r="C6" t="n">
        <v>4630500</v>
      </c>
      <c r="D6" t="n">
        <v>9622575.530152062</v>
      </c>
      <c r="E6" t="n">
        <v>32145303.49949206</v>
      </c>
      <c r="F6" t="n">
        <v>237762333.9842386</v>
      </c>
      <c r="G6" t="n">
        <v>12037272.03065999</v>
      </c>
      <c r="H6" t="n">
        <v>23730962.57141537</v>
      </c>
    </row>
    <row r="7">
      <c r="A7">
        <f>A6+1</f>
        <v/>
      </c>
      <c r="B7" s="16" t="n">
        <v>51737449.84641341</v>
      </c>
      <c r="C7" t="n">
        <v>4862025</v>
      </c>
      <c r="D7" t="n">
        <v>19560131.61257116</v>
      </c>
      <c r="E7" t="n">
        <v>27115318.73899846</v>
      </c>
      <c r="F7" t="n">
        <v>224581521.1106659</v>
      </c>
      <c r="G7" t="n">
        <v>13180812.8735727</v>
      </c>
      <c r="H7" t="n">
        <v>22587421.72850267</v>
      </c>
    </row>
    <row r="8">
      <c r="A8">
        <f>A7+1</f>
        <v/>
      </c>
      <c r="B8" s="16" t="n">
        <v>51427025.14733493</v>
      </c>
      <c r="C8" t="n">
        <v>5105126.25</v>
      </c>
      <c r="D8" t="n">
        <v>25352627.66487573</v>
      </c>
      <c r="E8" t="n">
        <v>23361237.56831363</v>
      </c>
      <c r="F8" t="n">
        <v>210148531.0141038</v>
      </c>
      <c r="G8" t="n">
        <v>14432990.0965621</v>
      </c>
      <c r="H8" t="n">
        <v>21335244.50551326</v>
      </c>
    </row>
    <row r="9">
      <c r="A9">
        <f>A8+1</f>
        <v/>
      </c>
      <c r="B9" s="16" t="n">
        <v>51118462.99645092</v>
      </c>
      <c r="C9" t="n">
        <v>5360382.5625</v>
      </c>
      <c r="D9" t="n">
        <v>28654742.02072547</v>
      </c>
      <c r="E9" t="n">
        <v>20315577.86498997</v>
      </c>
      <c r="F9" t="n">
        <v>194344406.8583683</v>
      </c>
      <c r="G9" t="n">
        <v>15804124.1557355</v>
      </c>
      <c r="H9" t="n">
        <v>19964110.44633986</v>
      </c>
    </row>
    <row r="10">
      <c r="A10">
        <f>A9+1</f>
        <v/>
      </c>
      <c r="B10" s="16" t="n">
        <v>50811752.21847221</v>
      </c>
      <c r="C10" t="n">
        <v>5628401.690625</v>
      </c>
      <c r="D10" t="n">
        <v>30459083.45918807</v>
      </c>
      <c r="E10" t="n">
        <v>17632543.5086577</v>
      </c>
      <c r="F10" t="n">
        <v>177038890.907838</v>
      </c>
      <c r="G10" t="n">
        <v>17305515.95053037</v>
      </c>
      <c r="H10" t="n">
        <v>18462718.65154499</v>
      </c>
    </row>
    <row r="11">
      <c r="A11">
        <f>A10+1</f>
        <v/>
      </c>
      <c r="B11" s="16" t="n">
        <v>50506881.70516138</v>
      </c>
      <c r="C11" t="n">
        <v>5909821.77515625</v>
      </c>
      <c r="D11" t="n">
        <v>31361009.30114283</v>
      </c>
      <c r="E11" t="n">
        <v>15098854.93531208</v>
      </c>
      <c r="F11" t="n">
        <v>158089350.9420072</v>
      </c>
      <c r="G11" t="n">
        <v>18949539.96583076</v>
      </c>
      <c r="H11" t="n">
        <v>16818694.63624461</v>
      </c>
    </row>
    <row r="12">
      <c r="A12">
        <f>A11+1</f>
        <v/>
      </c>
      <c r="B12" s="16" t="n">
        <v>50203840.41493041</v>
      </c>
      <c r="C12" t="n">
        <v>6205312.863914063</v>
      </c>
      <c r="D12" t="n">
        <v>31717515.77973753</v>
      </c>
      <c r="E12" t="n">
        <v>12580200.87715285</v>
      </c>
      <c r="F12" t="n">
        <v>137339604.6794225</v>
      </c>
      <c r="G12" t="n">
        <v>20749746.26258468</v>
      </c>
      <c r="H12" t="n">
        <v>15018488.33949068</v>
      </c>
    </row>
    <row r="13">
      <c r="A13">
        <f>A12+1</f>
        <v/>
      </c>
      <c r="B13" s="16" t="n">
        <v>49902617.37244082</v>
      </c>
      <c r="C13" t="n">
        <v>6515578.507109767</v>
      </c>
      <c r="D13" t="n">
        <v>31742571.75091443</v>
      </c>
      <c r="E13" t="n">
        <v>9989058.409384202</v>
      </c>
      <c r="F13" t="n">
        <v>114618632.5218923</v>
      </c>
      <c r="G13" t="n">
        <v>22720972.15753023</v>
      </c>
      <c r="H13" t="n">
        <v>13047262.44454514</v>
      </c>
    </row>
    <row r="14">
      <c r="A14">
        <f>A13+1</f>
        <v/>
      </c>
      <c r="B14" s="16" t="n">
        <v>49603201.66820618</v>
      </c>
      <c r="C14" t="n">
        <v>6841357.432465255</v>
      </c>
      <c r="D14" t="n">
        <v>31564318.38239725</v>
      </c>
      <c r="E14" t="n">
        <v>7265329.159501653</v>
      </c>
      <c r="F14" t="n">
        <v>89739168.00939667</v>
      </c>
      <c r="G14" t="n">
        <v>24879464.5124956</v>
      </c>
      <c r="H14" t="n">
        <v>10888770.08957977</v>
      </c>
    </row>
    <row r="15">
      <c r="A15">
        <f>A14+1</f>
        <v/>
      </c>
      <c r="B15" s="16" t="n">
        <v>49305582.45819694</v>
      </c>
      <c r="C15" t="n">
        <v>7183425.304088518</v>
      </c>
      <c r="D15" t="n">
        <v>31259388.40289473</v>
      </c>
      <c r="E15" t="n">
        <v>4364659.935472049</v>
      </c>
      <c r="F15" t="n">
        <v>62496154.368214</v>
      </c>
      <c r="G15" t="n">
        <v>27243013.64118268</v>
      </c>
      <c r="H15" t="n">
        <v>8525220.960892685</v>
      </c>
    </row>
    <row r="16">
      <c r="A16">
        <f>A15+1</f>
        <v/>
      </c>
      <c r="B16" s="16" t="n">
        <v>49009748.96344775</v>
      </c>
      <c r="C16" t="n">
        <v>7542596.569292944</v>
      </c>
      <c r="D16" t="n">
        <v>30873497.05923128</v>
      </c>
      <c r="E16" t="n">
        <v>1251368.226392243</v>
      </c>
      <c r="F16" t="n">
        <v>32665054.43111896</v>
      </c>
      <c r="G16" t="n">
        <v>29831099.93709503</v>
      </c>
      <c r="H16" t="n">
        <v>5937134.66498033</v>
      </c>
    </row>
    <row r="17">
      <c r="A17">
        <f>A16+1</f>
        <v/>
      </c>
      <c r="B17" s="16" t="n">
        <v>48715690.46966706</v>
      </c>
      <c r="C17" t="n">
        <v>7919726.397757592</v>
      </c>
      <c r="D17" t="n">
        <v>30433796.068621</v>
      </c>
      <c r="E17" t="n">
        <v>-2105875.699944459</v>
      </c>
      <c r="F17" t="n">
        <v>-1.005828380584717e-07</v>
      </c>
      <c r="G17" t="n">
        <v>32665054.43111906</v>
      </c>
      <c r="H17" t="n">
        <v>3103180.170956302</v>
      </c>
    </row>
    <row r="18">
      <c r="A18">
        <f>A17+1</f>
        <v/>
      </c>
      <c r="B18" s="16" t="n">
        <v>48423396.32684906</v>
      </c>
      <c r="C18" t="n">
        <v>8315712.717645472</v>
      </c>
      <c r="D18" t="n">
        <v>29956285.33693372</v>
      </c>
      <c r="E18" t="n">
        <v>30031514.93446589</v>
      </c>
      <c r="F18" t="n">
        <v>0</v>
      </c>
    </row>
    <row r="19">
      <c r="A19">
        <f>A18+1</f>
        <v/>
      </c>
      <c r="B19" s="16" t="n">
        <v>48132855.94888796</v>
      </c>
      <c r="C19" t="n">
        <v>8731498.353527745</v>
      </c>
      <c r="D19" t="n">
        <v>29450259.30390806</v>
      </c>
      <c r="E19" t="n">
        <v>29495397.06242735</v>
      </c>
      <c r="F19" t="n">
        <v>0</v>
      </c>
    </row>
    <row r="20">
      <c r="A20">
        <f>A19+1</f>
        <v/>
      </c>
      <c r="B20" s="16" t="n">
        <v>47844058.81319463</v>
      </c>
      <c r="C20" t="n">
        <v>9168073.271204133</v>
      </c>
      <c r="D20" t="n">
        <v>28920974.03025149</v>
      </c>
      <c r="E20" t="n">
        <v>28948056.68536307</v>
      </c>
      <c r="F20" t="n">
        <v>0</v>
      </c>
    </row>
    <row r="21">
      <c r="A21">
        <f>A20+1</f>
        <v/>
      </c>
      <c r="B21" s="16" t="n">
        <v>47556994.46031546</v>
      </c>
      <c r="C21" t="n">
        <v>9626476.934764341</v>
      </c>
      <c r="D21" t="n">
        <v>28371246.69387791</v>
      </c>
      <c r="E21" t="n">
        <v>28387496.28694485</v>
      </c>
      <c r="F21" t="n">
        <v>0</v>
      </c>
    </row>
    <row r="22">
      <c r="A22">
        <f>A21+1</f>
        <v/>
      </c>
      <c r="B22" s="16" t="n">
        <v>47271652.49355357</v>
      </c>
      <c r="C22" t="n">
        <v>10107800.78150256</v>
      </c>
      <c r="D22" t="n">
        <v>27802414.49383257</v>
      </c>
      <c r="E22" t="n">
        <v>27812164.24967274</v>
      </c>
      <c r="F22" t="n">
        <v>0</v>
      </c>
    </row>
    <row r="23">
      <c r="A23">
        <f>A22+1</f>
        <v/>
      </c>
      <c r="B23" s="16" t="n">
        <v>46988022.57859226</v>
      </c>
      <c r="C23" t="n">
        <v>10613190.82057769</v>
      </c>
      <c r="D23" t="n">
        <v>27214909.15914518</v>
      </c>
      <c r="E23" t="n">
        <v>27220759.01264928</v>
      </c>
      <c r="F23" t="n">
        <v>0</v>
      </c>
    </row>
    <row r="24">
      <c r="A24">
        <f>A23+1</f>
        <v/>
      </c>
      <c r="B24" s="16" t="n">
        <v>46706094.4431207</v>
      </c>
      <c r="C24" t="n">
        <v>11143850.36160657</v>
      </c>
      <c r="D24" t="n">
        <v>26608600.77897076</v>
      </c>
      <c r="E24" t="n">
        <v>26612110.69107322</v>
      </c>
      <c r="F24" t="n">
        <v>0</v>
      </c>
    </row>
    <row r="25">
      <c r="A25">
        <f>A24+1</f>
        <v/>
      </c>
      <c r="B25" s="16" t="n">
        <v>46425857.87646198</v>
      </c>
      <c r="C25" t="n">
        <v>11701042.8796869</v>
      </c>
      <c r="D25" t="n">
        <v>25983003.18175104</v>
      </c>
      <c r="E25" t="n">
        <v>25985109.12901251</v>
      </c>
      <c r="F25" t="n">
        <v>0</v>
      </c>
    </row>
    <row r="26">
      <c r="A26">
        <f>A25+1</f>
        <v/>
      </c>
      <c r="B26" s="16" t="n">
        <v>46147302.72920321</v>
      </c>
      <c r="C26" t="n">
        <v>12286095.02367125</v>
      </c>
      <c r="D26" t="n">
        <v>25337396.19784811</v>
      </c>
      <c r="E26" t="n">
        <v>25338659.766205</v>
      </c>
      <c r="F26" t="n">
        <v>0</v>
      </c>
    </row>
    <row r="27">
      <c r="A27">
        <f>A26+1</f>
        <v/>
      </c>
      <c r="B27" s="16" t="n">
        <v>45870418.91282799</v>
      </c>
      <c r="C27" t="n">
        <v>12900399.77485481</v>
      </c>
      <c r="D27" t="n">
        <v>24670898.00402446</v>
      </c>
      <c r="E27" t="n">
        <v>24671656.14503859</v>
      </c>
      <c r="F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Priyam Baishya</dc:creator>
  <dcterms:created xmlns:dcterms="http://purl.org/dc/terms/" xmlns:xsi="http://www.w3.org/2001/XMLSchema-instance" xsi:type="dcterms:W3CDTF">2025-07-20T05:13:51Z</dcterms:created>
  <dcterms:modified xmlns:dcterms="http://purl.org/dc/terms/" xmlns:xsi="http://www.w3.org/2001/XMLSchema-instance" xsi:type="dcterms:W3CDTF">2026-05-03T16:24:14Z</dcterms:modified>
  <cp:lastModifiedBy>Priyam Baishya</cp:lastModifiedBy>
</cp:coreProperties>
</file>